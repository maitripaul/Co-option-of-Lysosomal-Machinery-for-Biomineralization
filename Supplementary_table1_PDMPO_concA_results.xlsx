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tripaul/Dropbox/Tresguerres_lab/sponge_project/Supplementary_files/"/>
    </mc:Choice>
  </mc:AlternateContent>
  <xr:revisionPtr revIDLastSave="0" documentId="8_{56D206BA-B549-D340-8A33-906672B36155}" xr6:coauthVersionLast="47" xr6:coauthVersionMax="47" xr10:uidLastSave="{00000000-0000-0000-0000-000000000000}"/>
  <bookViews>
    <workbookView xWindow="0" yWindow="500" windowWidth="25600" windowHeight="13920" activeTab="1" xr2:uid="{A618A7DD-7E92-9046-9A10-2455BE151C08}"/>
  </bookViews>
  <sheets>
    <sheet name="Raw 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E86" i="1"/>
  <c r="F80" i="1"/>
  <c r="E80" i="1"/>
  <c r="F74" i="1"/>
  <c r="E74" i="1"/>
  <c r="F67" i="1"/>
  <c r="E67" i="1"/>
  <c r="F61" i="1"/>
  <c r="E61" i="1"/>
  <c r="F55" i="1"/>
  <c r="E55" i="1"/>
  <c r="F49" i="1"/>
  <c r="E49" i="1"/>
  <c r="F43" i="1"/>
  <c r="E43" i="1"/>
  <c r="F37" i="1"/>
  <c r="E37" i="1"/>
  <c r="F31" i="1"/>
  <c r="E31" i="1"/>
  <c r="F25" i="1"/>
  <c r="E25" i="1"/>
  <c r="D2" i="2" s="1"/>
  <c r="F19" i="1"/>
  <c r="E19" i="1"/>
  <c r="F13" i="1"/>
  <c r="E13" i="1"/>
  <c r="F7" i="1"/>
  <c r="E7" i="1"/>
  <c r="C2" i="2" s="1"/>
  <c r="G3" i="1"/>
  <c r="G4" i="1"/>
  <c r="G5" i="1"/>
  <c r="G6" i="1"/>
  <c r="G8" i="1"/>
  <c r="G9" i="1"/>
  <c r="G10" i="1"/>
  <c r="G11" i="1"/>
  <c r="G12" i="1"/>
  <c r="G14" i="1"/>
  <c r="G15" i="1"/>
  <c r="G16" i="1"/>
  <c r="G17" i="1"/>
  <c r="G18" i="1"/>
  <c r="G20" i="1"/>
  <c r="G21" i="1"/>
  <c r="G22" i="1"/>
  <c r="G23" i="1"/>
  <c r="G24" i="1"/>
  <c r="G26" i="1"/>
  <c r="G27" i="1"/>
  <c r="G28" i="1"/>
  <c r="G29" i="1"/>
  <c r="G30" i="1"/>
  <c r="G32" i="1"/>
  <c r="G33" i="1"/>
  <c r="G34" i="1"/>
  <c r="G35" i="1"/>
  <c r="G36" i="1"/>
  <c r="G38" i="1"/>
  <c r="G39" i="1"/>
  <c r="G40" i="1"/>
  <c r="G41" i="1"/>
  <c r="G42" i="1"/>
  <c r="G44" i="1"/>
  <c r="G45" i="1"/>
  <c r="G46" i="1"/>
  <c r="G47" i="1"/>
  <c r="G48" i="1"/>
  <c r="G50" i="1"/>
  <c r="G51" i="1"/>
  <c r="G52" i="1"/>
  <c r="G53" i="1"/>
  <c r="G54" i="1"/>
  <c r="G56" i="1"/>
  <c r="G57" i="1"/>
  <c r="G58" i="1"/>
  <c r="G59" i="1"/>
  <c r="G60" i="1"/>
  <c r="G62" i="1"/>
  <c r="G63" i="1"/>
  <c r="G64" i="1"/>
  <c r="G65" i="1"/>
  <c r="G66" i="1"/>
  <c r="G68" i="1"/>
  <c r="G69" i="1"/>
  <c r="G70" i="1"/>
  <c r="G71" i="1"/>
  <c r="G72" i="1"/>
  <c r="G73" i="1"/>
  <c r="G75" i="1"/>
  <c r="G76" i="1"/>
  <c r="G77" i="1"/>
  <c r="G78" i="1"/>
  <c r="G79" i="1"/>
  <c r="G81" i="1"/>
  <c r="G82" i="1"/>
  <c r="G83" i="1"/>
  <c r="G84" i="1"/>
  <c r="G85" i="1"/>
  <c r="G2" i="1"/>
  <c r="D5" i="2" l="1"/>
  <c r="H5" i="2" s="1"/>
  <c r="C5" i="2"/>
  <c r="D4" i="2"/>
  <c r="C4" i="2"/>
  <c r="C3" i="2"/>
  <c r="G3" i="2" s="1"/>
  <c r="D3" i="2"/>
  <c r="H3" i="2" s="1"/>
  <c r="G67" i="1"/>
  <c r="G80" i="1"/>
  <c r="G31" i="1"/>
  <c r="G37" i="1"/>
  <c r="G19" i="1"/>
  <c r="G43" i="1"/>
  <c r="G49" i="1"/>
  <c r="G55" i="1"/>
  <c r="G74" i="1"/>
  <c r="G13" i="1"/>
  <c r="G86" i="1"/>
  <c r="G25" i="1"/>
  <c r="G61" i="1"/>
  <c r="G7" i="1"/>
  <c r="G5" i="2" l="1"/>
  <c r="F3" i="2"/>
  <c r="J3" i="2" s="1"/>
  <c r="E3" i="2"/>
  <c r="F4" i="2"/>
  <c r="E4" i="2"/>
  <c r="I5" i="2" s="1"/>
  <c r="F5" i="2"/>
  <c r="J5" i="2" s="1"/>
  <c r="E5" i="2"/>
  <c r="F2" i="2"/>
  <c r="E2" i="2"/>
  <c r="I3" i="2" l="1"/>
</calcChain>
</file>

<file path=xl/sharedStrings.xml><?xml version="1.0" encoding="utf-8"?>
<sst xmlns="http://schemas.openxmlformats.org/spreadsheetml/2006/main" count="265" uniqueCount="78">
  <si>
    <t>DMSO1_1</t>
  </si>
  <si>
    <t>PDMPO</t>
  </si>
  <si>
    <t>spicules</t>
  </si>
  <si>
    <t>DMSO1_2</t>
  </si>
  <si>
    <t>DMSO1_3</t>
  </si>
  <si>
    <t>DMSO1_4</t>
  </si>
  <si>
    <t>DMSO1_5</t>
  </si>
  <si>
    <t>DMSO2_1</t>
  </si>
  <si>
    <t>DMSO2_2</t>
  </si>
  <si>
    <t>DMSO2_3</t>
  </si>
  <si>
    <t>DMSO2_4</t>
  </si>
  <si>
    <t>DMSO2_5</t>
  </si>
  <si>
    <t>DMSO3_1</t>
  </si>
  <si>
    <t>DMSO3_2</t>
  </si>
  <si>
    <t>DMSO3_3</t>
  </si>
  <si>
    <t>DMSO3_4</t>
  </si>
  <si>
    <t>DMSO3_5</t>
  </si>
  <si>
    <t>DMSO4_1</t>
  </si>
  <si>
    <t>DMSO4_2</t>
  </si>
  <si>
    <t>DMSO4_3</t>
  </si>
  <si>
    <t>DMSO4_4</t>
  </si>
  <si>
    <t>DMSO4_5</t>
  </si>
  <si>
    <t>concA1_1</t>
  </si>
  <si>
    <t>concA1_2</t>
  </si>
  <si>
    <t>concA1_3</t>
  </si>
  <si>
    <t>concA1_4</t>
  </si>
  <si>
    <t>concA1_5</t>
  </si>
  <si>
    <t>concA2_1</t>
  </si>
  <si>
    <t>concA2_2</t>
  </si>
  <si>
    <t>concA2_3</t>
  </si>
  <si>
    <t>concA2_4</t>
  </si>
  <si>
    <t>concA2_5</t>
  </si>
  <si>
    <t>concA3_1</t>
  </si>
  <si>
    <t>concA3_2</t>
  </si>
  <si>
    <t>concA3_3</t>
  </si>
  <si>
    <t>concA3_4</t>
  </si>
  <si>
    <t>concA3_5</t>
  </si>
  <si>
    <t>concA4_1</t>
  </si>
  <si>
    <t>concA4_2</t>
  </si>
  <si>
    <t>concA4_3</t>
  </si>
  <si>
    <t>concA4_4</t>
  </si>
  <si>
    <t>concA4_5</t>
  </si>
  <si>
    <t>species</t>
  </si>
  <si>
    <t>E. muelleri</t>
  </si>
  <si>
    <t>S. lacustris</t>
  </si>
  <si>
    <t>concA1_6</t>
  </si>
  <si>
    <t>DMSO1</t>
  </si>
  <si>
    <t>DMSO2</t>
  </si>
  <si>
    <t>DMSO3</t>
  </si>
  <si>
    <t>DMSO4</t>
  </si>
  <si>
    <t>concA1</t>
  </si>
  <si>
    <t>Replicate of Drug Treatment</t>
  </si>
  <si>
    <t>concA2</t>
  </si>
  <si>
    <t>concA3</t>
  </si>
  <si>
    <t>concA4</t>
  </si>
  <si>
    <t>images_per_sponge</t>
  </si>
  <si>
    <t>proportion_of_spicules_w_PDMPO</t>
  </si>
  <si>
    <t>DMSO1_avg</t>
  </si>
  <si>
    <t>DMSO2_avg</t>
  </si>
  <si>
    <t>DMSO3_avg</t>
  </si>
  <si>
    <t>DMSO4_avg</t>
  </si>
  <si>
    <t>concA1_avg</t>
  </si>
  <si>
    <t>concA2_avg</t>
  </si>
  <si>
    <t>concA3_avg</t>
  </si>
  <si>
    <t>concA4_avg</t>
  </si>
  <si>
    <t>DMSO</t>
  </si>
  <si>
    <t>concA</t>
  </si>
  <si>
    <t xml:space="preserve">DMSO </t>
  </si>
  <si>
    <t>Treatment</t>
  </si>
  <si>
    <t>Species</t>
  </si>
  <si>
    <t>Average spicules</t>
  </si>
  <si>
    <t>Percentage diff in no. of spicules between DMSO and concA</t>
  </si>
  <si>
    <t>SE no. of spicules between DMSO and concA</t>
  </si>
  <si>
    <t>SE average spicules</t>
  </si>
  <si>
    <t>Average proportion of spicules w PDMPO</t>
  </si>
  <si>
    <t>SE average proportion of spicules w PDMPO</t>
  </si>
  <si>
    <t>Percentage diff in proportion of spicules w PDMPO between DMSO and concA</t>
  </si>
  <si>
    <t>SE proportion of spicules w PDMPO between DMSO and concA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</si>
</sst>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248C-872A-914B-9670-BA586FF85CA7}">
  <dimension ref="A1:G86"/>
  <sheetViews>
    <sheetView workbookViewId="0">
      <selection activeCell="M12" sqref="M12"/>
    </sheetView>
  </sheetViews>
  <sheetFormatPr baseColWidth="10" defaultRowHeight="16" x14ac:dyDescent="0.2"/>
  <cols>
    <col min="1" max="1" width="22" customWidth="1"/>
    <col min="7" max="7" width="41.1640625" customWidth="1"/>
  </cols>
  <sheetData>
    <row r="1" spans="1:7" x14ac:dyDescent="0.2">
      <c r="A1" t="s">
        <v>51</v>
      </c>
      <c r="B1" t="s">
        <v>55</v>
      </c>
      <c r="D1" t="s">
        <v>42</v>
      </c>
      <c r="E1" t="s">
        <v>2</v>
      </c>
      <c r="F1" t="s">
        <v>1</v>
      </c>
      <c r="G1" t="s">
        <v>56</v>
      </c>
    </row>
    <row r="2" spans="1:7" x14ac:dyDescent="0.2">
      <c r="A2" t="s">
        <v>46</v>
      </c>
      <c r="B2">
        <v>1</v>
      </c>
      <c r="C2" t="s">
        <v>0</v>
      </c>
      <c r="D2" t="s">
        <v>43</v>
      </c>
      <c r="E2">
        <v>21</v>
      </c>
      <c r="F2">
        <v>21</v>
      </c>
      <c r="G2">
        <f>F2/E2</f>
        <v>1</v>
      </c>
    </row>
    <row r="3" spans="1:7" x14ac:dyDescent="0.2">
      <c r="A3" t="s">
        <v>46</v>
      </c>
      <c r="B3">
        <v>2</v>
      </c>
      <c r="C3" t="s">
        <v>3</v>
      </c>
      <c r="D3" t="s">
        <v>43</v>
      </c>
      <c r="E3">
        <v>16</v>
      </c>
      <c r="F3">
        <v>15</v>
      </c>
      <c r="G3">
        <f t="shared" ref="G3:G78" si="0">F3/E3</f>
        <v>0.9375</v>
      </c>
    </row>
    <row r="4" spans="1:7" x14ac:dyDescent="0.2">
      <c r="A4" t="s">
        <v>46</v>
      </c>
      <c r="B4">
        <v>3</v>
      </c>
      <c r="C4" t="s">
        <v>4</v>
      </c>
      <c r="D4" t="s">
        <v>43</v>
      </c>
      <c r="E4">
        <v>25</v>
      </c>
      <c r="F4">
        <v>21</v>
      </c>
      <c r="G4">
        <f t="shared" si="0"/>
        <v>0.84</v>
      </c>
    </row>
    <row r="5" spans="1:7" x14ac:dyDescent="0.2">
      <c r="A5" t="s">
        <v>46</v>
      </c>
      <c r="B5">
        <v>4</v>
      </c>
      <c r="C5" t="s">
        <v>5</v>
      </c>
      <c r="D5" t="s">
        <v>43</v>
      </c>
      <c r="E5">
        <v>28</v>
      </c>
      <c r="F5">
        <v>26</v>
      </c>
      <c r="G5">
        <f t="shared" si="0"/>
        <v>0.9285714285714286</v>
      </c>
    </row>
    <row r="6" spans="1:7" x14ac:dyDescent="0.2">
      <c r="A6" t="s">
        <v>46</v>
      </c>
      <c r="B6">
        <v>5</v>
      </c>
      <c r="C6" t="s">
        <v>6</v>
      </c>
      <c r="D6" t="s">
        <v>43</v>
      </c>
      <c r="E6">
        <v>27</v>
      </c>
      <c r="F6">
        <v>27</v>
      </c>
      <c r="G6">
        <f t="shared" si="0"/>
        <v>1</v>
      </c>
    </row>
    <row r="7" spans="1:7" x14ac:dyDescent="0.2">
      <c r="A7" t="s">
        <v>57</v>
      </c>
      <c r="D7" t="s">
        <v>43</v>
      </c>
      <c r="E7">
        <f>AVERAGE(E2:E6)</f>
        <v>23.4</v>
      </c>
      <c r="F7">
        <f t="shared" ref="F7:G7" si="1">AVERAGE(F2:F6)</f>
        <v>22</v>
      </c>
      <c r="G7">
        <f t="shared" si="1"/>
        <v>0.94121428571428578</v>
      </c>
    </row>
    <row r="8" spans="1:7" x14ac:dyDescent="0.2">
      <c r="A8" t="s">
        <v>47</v>
      </c>
      <c r="B8">
        <v>1</v>
      </c>
      <c r="C8" t="s">
        <v>7</v>
      </c>
      <c r="D8" t="s">
        <v>43</v>
      </c>
      <c r="E8">
        <v>24</v>
      </c>
      <c r="F8">
        <v>22</v>
      </c>
      <c r="G8">
        <f t="shared" si="0"/>
        <v>0.91666666666666663</v>
      </c>
    </row>
    <row r="9" spans="1:7" x14ac:dyDescent="0.2">
      <c r="A9" s="1" t="s">
        <v>47</v>
      </c>
      <c r="B9">
        <v>2</v>
      </c>
      <c r="C9" t="s">
        <v>8</v>
      </c>
      <c r="D9" t="s">
        <v>43</v>
      </c>
      <c r="E9">
        <v>15</v>
      </c>
      <c r="F9">
        <v>15</v>
      </c>
      <c r="G9">
        <f t="shared" si="0"/>
        <v>1</v>
      </c>
    </row>
    <row r="10" spans="1:7" x14ac:dyDescent="0.2">
      <c r="A10" t="s">
        <v>47</v>
      </c>
      <c r="B10">
        <v>3</v>
      </c>
      <c r="C10" t="s">
        <v>9</v>
      </c>
      <c r="D10" t="s">
        <v>43</v>
      </c>
      <c r="E10">
        <v>12</v>
      </c>
      <c r="F10">
        <v>6</v>
      </c>
      <c r="G10">
        <f t="shared" si="0"/>
        <v>0.5</v>
      </c>
    </row>
    <row r="11" spans="1:7" x14ac:dyDescent="0.2">
      <c r="A11" s="1" t="s">
        <v>47</v>
      </c>
      <c r="B11">
        <v>4</v>
      </c>
      <c r="C11" t="s">
        <v>10</v>
      </c>
      <c r="D11" t="s">
        <v>43</v>
      </c>
      <c r="E11">
        <v>13</v>
      </c>
      <c r="F11">
        <v>12</v>
      </c>
      <c r="G11">
        <f t="shared" si="0"/>
        <v>0.92307692307692313</v>
      </c>
    </row>
    <row r="12" spans="1:7" x14ac:dyDescent="0.2">
      <c r="A12" t="s">
        <v>47</v>
      </c>
      <c r="B12">
        <v>5</v>
      </c>
      <c r="C12" t="s">
        <v>11</v>
      </c>
      <c r="D12" t="s">
        <v>43</v>
      </c>
      <c r="E12">
        <v>18</v>
      </c>
      <c r="F12">
        <v>15</v>
      </c>
      <c r="G12">
        <f t="shared" si="0"/>
        <v>0.83333333333333337</v>
      </c>
    </row>
    <row r="13" spans="1:7" x14ac:dyDescent="0.2">
      <c r="A13" t="s">
        <v>58</v>
      </c>
      <c r="D13" t="s">
        <v>43</v>
      </c>
      <c r="E13">
        <f>AVERAGE(E8:E12)</f>
        <v>16.399999999999999</v>
      </c>
      <c r="F13">
        <f t="shared" ref="F13:G13" si="2">AVERAGE(F8:F12)</f>
        <v>14</v>
      </c>
      <c r="G13">
        <f t="shared" si="2"/>
        <v>0.83461538461538454</v>
      </c>
    </row>
    <row r="14" spans="1:7" x14ac:dyDescent="0.2">
      <c r="A14" t="s">
        <v>48</v>
      </c>
      <c r="B14">
        <v>1</v>
      </c>
      <c r="C14" t="s">
        <v>12</v>
      </c>
      <c r="D14" t="s">
        <v>43</v>
      </c>
      <c r="E14">
        <v>17</v>
      </c>
      <c r="F14">
        <v>13</v>
      </c>
      <c r="G14">
        <f t="shared" si="0"/>
        <v>0.76470588235294112</v>
      </c>
    </row>
    <row r="15" spans="1:7" x14ac:dyDescent="0.2">
      <c r="A15" t="s">
        <v>48</v>
      </c>
      <c r="B15">
        <v>2</v>
      </c>
      <c r="C15" t="s">
        <v>13</v>
      </c>
      <c r="D15" t="s">
        <v>43</v>
      </c>
      <c r="E15">
        <v>16</v>
      </c>
      <c r="F15">
        <v>16</v>
      </c>
      <c r="G15">
        <f t="shared" si="0"/>
        <v>1</v>
      </c>
    </row>
    <row r="16" spans="1:7" x14ac:dyDescent="0.2">
      <c r="A16" t="s">
        <v>48</v>
      </c>
      <c r="B16">
        <v>3</v>
      </c>
      <c r="C16" t="s">
        <v>14</v>
      </c>
      <c r="D16" t="s">
        <v>43</v>
      </c>
      <c r="E16">
        <v>19</v>
      </c>
      <c r="F16">
        <v>13</v>
      </c>
      <c r="G16">
        <f t="shared" si="0"/>
        <v>0.68421052631578949</v>
      </c>
    </row>
    <row r="17" spans="1:7" x14ac:dyDescent="0.2">
      <c r="A17" t="s">
        <v>48</v>
      </c>
      <c r="B17">
        <v>4</v>
      </c>
      <c r="C17" t="s">
        <v>15</v>
      </c>
      <c r="D17" t="s">
        <v>43</v>
      </c>
      <c r="E17">
        <v>13</v>
      </c>
      <c r="F17">
        <v>11</v>
      </c>
      <c r="G17">
        <f t="shared" si="0"/>
        <v>0.84615384615384615</v>
      </c>
    </row>
    <row r="18" spans="1:7" x14ac:dyDescent="0.2">
      <c r="A18" t="s">
        <v>48</v>
      </c>
      <c r="B18">
        <v>5</v>
      </c>
      <c r="C18" t="s">
        <v>16</v>
      </c>
      <c r="D18" t="s">
        <v>43</v>
      </c>
      <c r="E18">
        <v>20</v>
      </c>
      <c r="F18">
        <v>15</v>
      </c>
      <c r="G18">
        <f t="shared" si="0"/>
        <v>0.75</v>
      </c>
    </row>
    <row r="19" spans="1:7" x14ac:dyDescent="0.2">
      <c r="A19" t="s">
        <v>59</v>
      </c>
      <c r="D19" t="s">
        <v>43</v>
      </c>
      <c r="E19">
        <f>AVERAGE(E14:E18)</f>
        <v>17</v>
      </c>
      <c r="F19">
        <f>AVERAGE(F14:F18)</f>
        <v>13.6</v>
      </c>
      <c r="G19">
        <f>AVERAGE(G14:G18)</f>
        <v>0.80901405096451529</v>
      </c>
    </row>
    <row r="20" spans="1:7" x14ac:dyDescent="0.2">
      <c r="A20" t="s">
        <v>49</v>
      </c>
      <c r="B20">
        <v>1</v>
      </c>
      <c r="C20" t="s">
        <v>17</v>
      </c>
      <c r="D20" t="s">
        <v>43</v>
      </c>
      <c r="E20">
        <v>15</v>
      </c>
      <c r="F20">
        <v>14</v>
      </c>
      <c r="G20">
        <f t="shared" si="0"/>
        <v>0.93333333333333335</v>
      </c>
    </row>
    <row r="21" spans="1:7" x14ac:dyDescent="0.2">
      <c r="A21" t="s">
        <v>49</v>
      </c>
      <c r="B21">
        <v>2</v>
      </c>
      <c r="C21" t="s">
        <v>18</v>
      </c>
      <c r="D21" t="s">
        <v>43</v>
      </c>
      <c r="E21">
        <v>19</v>
      </c>
      <c r="F21">
        <v>18</v>
      </c>
      <c r="G21">
        <f t="shared" si="0"/>
        <v>0.94736842105263153</v>
      </c>
    </row>
    <row r="22" spans="1:7" x14ac:dyDescent="0.2">
      <c r="A22" t="s">
        <v>49</v>
      </c>
      <c r="B22">
        <v>3</v>
      </c>
      <c r="C22" t="s">
        <v>19</v>
      </c>
      <c r="D22" t="s">
        <v>43</v>
      </c>
      <c r="E22">
        <v>14</v>
      </c>
      <c r="F22">
        <v>14</v>
      </c>
      <c r="G22">
        <f t="shared" si="0"/>
        <v>1</v>
      </c>
    </row>
    <row r="23" spans="1:7" x14ac:dyDescent="0.2">
      <c r="A23" t="s">
        <v>49</v>
      </c>
      <c r="B23">
        <v>4</v>
      </c>
      <c r="C23" t="s">
        <v>20</v>
      </c>
      <c r="D23" t="s">
        <v>43</v>
      </c>
      <c r="E23">
        <v>8</v>
      </c>
      <c r="F23">
        <v>7</v>
      </c>
      <c r="G23">
        <f t="shared" si="0"/>
        <v>0.875</v>
      </c>
    </row>
    <row r="24" spans="1:7" x14ac:dyDescent="0.2">
      <c r="A24" t="s">
        <v>49</v>
      </c>
      <c r="B24">
        <v>5</v>
      </c>
      <c r="C24" t="s">
        <v>21</v>
      </c>
      <c r="D24" t="s">
        <v>43</v>
      </c>
      <c r="E24">
        <v>18</v>
      </c>
      <c r="F24">
        <v>13</v>
      </c>
      <c r="G24">
        <f t="shared" si="0"/>
        <v>0.72222222222222221</v>
      </c>
    </row>
    <row r="25" spans="1:7" x14ac:dyDescent="0.2">
      <c r="A25" t="s">
        <v>60</v>
      </c>
      <c r="D25" t="s">
        <v>43</v>
      </c>
      <c r="E25">
        <f>AVERAGE(E20:E24)</f>
        <v>14.8</v>
      </c>
      <c r="F25">
        <f t="shared" ref="F25:G25" si="3">AVERAGE(F20:F24)</f>
        <v>13.2</v>
      </c>
      <c r="G25">
        <f t="shared" si="3"/>
        <v>0.89558479532163737</v>
      </c>
    </row>
    <row r="26" spans="1:7" x14ac:dyDescent="0.2">
      <c r="A26" t="s">
        <v>50</v>
      </c>
      <c r="B26">
        <v>1</v>
      </c>
      <c r="C26" t="s">
        <v>22</v>
      </c>
      <c r="D26" t="s">
        <v>43</v>
      </c>
      <c r="E26">
        <v>11</v>
      </c>
      <c r="F26">
        <v>1</v>
      </c>
      <c r="G26">
        <f t="shared" si="0"/>
        <v>9.0909090909090912E-2</v>
      </c>
    </row>
    <row r="27" spans="1:7" x14ac:dyDescent="0.2">
      <c r="A27" t="s">
        <v>50</v>
      </c>
      <c r="B27">
        <v>2</v>
      </c>
      <c r="C27" t="s">
        <v>23</v>
      </c>
      <c r="D27" t="s">
        <v>43</v>
      </c>
      <c r="E27">
        <v>6</v>
      </c>
      <c r="F27">
        <v>1</v>
      </c>
      <c r="G27">
        <f t="shared" si="0"/>
        <v>0.16666666666666666</v>
      </c>
    </row>
    <row r="28" spans="1:7" x14ac:dyDescent="0.2">
      <c r="A28" t="s">
        <v>50</v>
      </c>
      <c r="B28">
        <v>3</v>
      </c>
      <c r="C28" t="s">
        <v>24</v>
      </c>
      <c r="D28" t="s">
        <v>43</v>
      </c>
      <c r="E28">
        <v>6</v>
      </c>
      <c r="F28">
        <v>0</v>
      </c>
      <c r="G28">
        <f t="shared" si="0"/>
        <v>0</v>
      </c>
    </row>
    <row r="29" spans="1:7" x14ac:dyDescent="0.2">
      <c r="A29" t="s">
        <v>50</v>
      </c>
      <c r="B29">
        <v>4</v>
      </c>
      <c r="C29" t="s">
        <v>25</v>
      </c>
      <c r="D29" t="s">
        <v>43</v>
      </c>
      <c r="E29">
        <v>6</v>
      </c>
      <c r="F29">
        <v>1</v>
      </c>
      <c r="G29">
        <f t="shared" si="0"/>
        <v>0.16666666666666666</v>
      </c>
    </row>
    <row r="30" spans="1:7" x14ac:dyDescent="0.2">
      <c r="A30" t="s">
        <v>50</v>
      </c>
      <c r="B30">
        <v>5</v>
      </c>
      <c r="C30" t="s">
        <v>26</v>
      </c>
      <c r="D30" t="s">
        <v>43</v>
      </c>
      <c r="E30">
        <v>9</v>
      </c>
      <c r="F30">
        <v>0</v>
      </c>
      <c r="G30">
        <f t="shared" si="0"/>
        <v>0</v>
      </c>
    </row>
    <row r="31" spans="1:7" x14ac:dyDescent="0.2">
      <c r="A31" t="s">
        <v>61</v>
      </c>
      <c r="D31" t="s">
        <v>43</v>
      </c>
      <c r="E31">
        <f>AVERAGE(E26:E30)</f>
        <v>7.6</v>
      </c>
      <c r="F31">
        <f t="shared" ref="F31:G31" si="4">AVERAGE(F26:F30)</f>
        <v>0.6</v>
      </c>
      <c r="G31">
        <f t="shared" si="4"/>
        <v>8.484848484848484E-2</v>
      </c>
    </row>
    <row r="32" spans="1:7" x14ac:dyDescent="0.2">
      <c r="A32" t="s">
        <v>52</v>
      </c>
      <c r="B32">
        <v>1</v>
      </c>
      <c r="C32" t="s">
        <v>27</v>
      </c>
      <c r="D32" t="s">
        <v>43</v>
      </c>
      <c r="E32">
        <v>13</v>
      </c>
      <c r="F32">
        <v>0</v>
      </c>
      <c r="G32">
        <f t="shared" si="0"/>
        <v>0</v>
      </c>
    </row>
    <row r="33" spans="1:7" x14ac:dyDescent="0.2">
      <c r="A33" t="s">
        <v>52</v>
      </c>
      <c r="B33">
        <v>2</v>
      </c>
      <c r="C33" t="s">
        <v>28</v>
      </c>
      <c r="D33" t="s">
        <v>43</v>
      </c>
      <c r="E33">
        <v>16</v>
      </c>
      <c r="F33">
        <v>0</v>
      </c>
      <c r="G33">
        <f t="shared" si="0"/>
        <v>0</v>
      </c>
    </row>
    <row r="34" spans="1:7" x14ac:dyDescent="0.2">
      <c r="A34" t="s">
        <v>52</v>
      </c>
      <c r="B34">
        <v>3</v>
      </c>
      <c r="C34" t="s">
        <v>29</v>
      </c>
      <c r="D34" t="s">
        <v>43</v>
      </c>
      <c r="E34">
        <v>12</v>
      </c>
      <c r="F34">
        <v>1</v>
      </c>
      <c r="G34">
        <f t="shared" si="0"/>
        <v>8.3333333333333329E-2</v>
      </c>
    </row>
    <row r="35" spans="1:7" x14ac:dyDescent="0.2">
      <c r="A35" t="s">
        <v>52</v>
      </c>
      <c r="B35">
        <v>4</v>
      </c>
      <c r="C35" t="s">
        <v>30</v>
      </c>
      <c r="D35" t="s">
        <v>43</v>
      </c>
      <c r="E35">
        <v>18</v>
      </c>
      <c r="F35">
        <v>1</v>
      </c>
      <c r="G35">
        <f t="shared" si="0"/>
        <v>5.5555555555555552E-2</v>
      </c>
    </row>
    <row r="36" spans="1:7" x14ac:dyDescent="0.2">
      <c r="A36" t="s">
        <v>52</v>
      </c>
      <c r="B36">
        <v>5</v>
      </c>
      <c r="C36" t="s">
        <v>31</v>
      </c>
      <c r="D36" t="s">
        <v>43</v>
      </c>
      <c r="E36">
        <v>15</v>
      </c>
      <c r="F36">
        <v>0</v>
      </c>
      <c r="G36">
        <f t="shared" si="0"/>
        <v>0</v>
      </c>
    </row>
    <row r="37" spans="1:7" x14ac:dyDescent="0.2">
      <c r="A37" t="s">
        <v>62</v>
      </c>
      <c r="D37" t="s">
        <v>43</v>
      </c>
      <c r="E37">
        <f>AVERAGE(E32:E36)</f>
        <v>14.8</v>
      </c>
      <c r="F37">
        <f t="shared" ref="F37:G37" si="5">AVERAGE(F32:F36)</f>
        <v>0.4</v>
      </c>
      <c r="G37">
        <f t="shared" si="5"/>
        <v>2.777777777777778E-2</v>
      </c>
    </row>
    <row r="38" spans="1:7" x14ac:dyDescent="0.2">
      <c r="A38" t="s">
        <v>53</v>
      </c>
      <c r="B38">
        <v>1</v>
      </c>
      <c r="C38" t="s">
        <v>32</v>
      </c>
      <c r="D38" t="s">
        <v>43</v>
      </c>
      <c r="E38">
        <v>9</v>
      </c>
      <c r="F38">
        <v>3</v>
      </c>
      <c r="G38">
        <f t="shared" si="0"/>
        <v>0.33333333333333331</v>
      </c>
    </row>
    <row r="39" spans="1:7" x14ac:dyDescent="0.2">
      <c r="A39" t="s">
        <v>53</v>
      </c>
      <c r="B39">
        <v>2</v>
      </c>
      <c r="C39" t="s">
        <v>33</v>
      </c>
      <c r="D39" t="s">
        <v>43</v>
      </c>
      <c r="E39">
        <v>14</v>
      </c>
      <c r="F39">
        <v>2</v>
      </c>
      <c r="G39">
        <f t="shared" si="0"/>
        <v>0.14285714285714285</v>
      </c>
    </row>
    <row r="40" spans="1:7" x14ac:dyDescent="0.2">
      <c r="A40" t="s">
        <v>53</v>
      </c>
      <c r="B40">
        <v>3</v>
      </c>
      <c r="C40" t="s">
        <v>34</v>
      </c>
      <c r="D40" t="s">
        <v>43</v>
      </c>
      <c r="E40">
        <v>6</v>
      </c>
      <c r="F40">
        <v>1</v>
      </c>
      <c r="G40">
        <f t="shared" si="0"/>
        <v>0.16666666666666666</v>
      </c>
    </row>
    <row r="41" spans="1:7" x14ac:dyDescent="0.2">
      <c r="A41" t="s">
        <v>53</v>
      </c>
      <c r="B41">
        <v>4</v>
      </c>
      <c r="C41" t="s">
        <v>35</v>
      </c>
      <c r="D41" t="s">
        <v>43</v>
      </c>
      <c r="E41">
        <v>9</v>
      </c>
      <c r="F41">
        <v>1</v>
      </c>
      <c r="G41">
        <f t="shared" si="0"/>
        <v>0.1111111111111111</v>
      </c>
    </row>
    <row r="42" spans="1:7" x14ac:dyDescent="0.2">
      <c r="A42" t="s">
        <v>53</v>
      </c>
      <c r="B42">
        <v>5</v>
      </c>
      <c r="C42" t="s">
        <v>36</v>
      </c>
      <c r="D42" t="s">
        <v>43</v>
      </c>
      <c r="E42">
        <v>11</v>
      </c>
      <c r="F42">
        <v>3</v>
      </c>
      <c r="G42">
        <f t="shared" si="0"/>
        <v>0.27272727272727271</v>
      </c>
    </row>
    <row r="43" spans="1:7" x14ac:dyDescent="0.2">
      <c r="A43" s="1" t="s">
        <v>63</v>
      </c>
      <c r="D43" t="s">
        <v>43</v>
      </c>
      <c r="E43">
        <f>AVERAGE(E38:E42)</f>
        <v>9.8000000000000007</v>
      </c>
      <c r="F43">
        <f t="shared" ref="F43:G43" si="6">AVERAGE(F38:F42)</f>
        <v>2</v>
      </c>
      <c r="G43">
        <f t="shared" si="6"/>
        <v>0.20533910533910532</v>
      </c>
    </row>
    <row r="44" spans="1:7" x14ac:dyDescent="0.2">
      <c r="A44" t="s">
        <v>54</v>
      </c>
      <c r="B44">
        <v>1</v>
      </c>
      <c r="C44" t="s">
        <v>37</v>
      </c>
      <c r="D44" t="s">
        <v>43</v>
      </c>
      <c r="E44">
        <v>4</v>
      </c>
      <c r="F44">
        <v>2</v>
      </c>
      <c r="G44">
        <f t="shared" si="0"/>
        <v>0.5</v>
      </c>
    </row>
    <row r="45" spans="1:7" x14ac:dyDescent="0.2">
      <c r="A45" t="s">
        <v>54</v>
      </c>
      <c r="B45">
        <v>2</v>
      </c>
      <c r="C45" t="s">
        <v>38</v>
      </c>
      <c r="D45" t="s">
        <v>43</v>
      </c>
      <c r="E45">
        <v>12</v>
      </c>
      <c r="F45">
        <v>1</v>
      </c>
      <c r="G45">
        <f t="shared" si="0"/>
        <v>8.3333333333333329E-2</v>
      </c>
    </row>
    <row r="46" spans="1:7" x14ac:dyDescent="0.2">
      <c r="A46" t="s">
        <v>54</v>
      </c>
      <c r="B46">
        <v>3</v>
      </c>
      <c r="C46" t="s">
        <v>39</v>
      </c>
      <c r="D46" t="s">
        <v>43</v>
      </c>
      <c r="E46">
        <v>11</v>
      </c>
      <c r="F46">
        <v>0</v>
      </c>
      <c r="G46">
        <f t="shared" si="0"/>
        <v>0</v>
      </c>
    </row>
    <row r="47" spans="1:7" x14ac:dyDescent="0.2">
      <c r="A47" t="s">
        <v>54</v>
      </c>
      <c r="B47">
        <v>4</v>
      </c>
      <c r="C47" t="s">
        <v>40</v>
      </c>
      <c r="D47" t="s">
        <v>43</v>
      </c>
      <c r="E47">
        <v>11</v>
      </c>
      <c r="F47">
        <v>0</v>
      </c>
      <c r="G47">
        <f t="shared" si="0"/>
        <v>0</v>
      </c>
    </row>
    <row r="48" spans="1:7" x14ac:dyDescent="0.2">
      <c r="A48" t="s">
        <v>54</v>
      </c>
      <c r="B48">
        <v>5</v>
      </c>
      <c r="C48" t="s">
        <v>41</v>
      </c>
      <c r="D48" t="s">
        <v>43</v>
      </c>
      <c r="E48">
        <v>10</v>
      </c>
      <c r="F48">
        <v>3</v>
      </c>
      <c r="G48">
        <f t="shared" si="0"/>
        <v>0.3</v>
      </c>
    </row>
    <row r="49" spans="1:7" x14ac:dyDescent="0.2">
      <c r="A49" s="1" t="s">
        <v>64</v>
      </c>
      <c r="D49" t="s">
        <v>43</v>
      </c>
      <c r="E49">
        <f>AVERAGE(E44:E48)</f>
        <v>9.6</v>
      </c>
      <c r="F49">
        <f>AVERAGE(F44:F48)</f>
        <v>1.2</v>
      </c>
      <c r="G49">
        <f>AVERAGE(G44:G48)</f>
        <v>0.17666666666666667</v>
      </c>
    </row>
    <row r="50" spans="1:7" x14ac:dyDescent="0.2">
      <c r="A50" t="s">
        <v>46</v>
      </c>
      <c r="B50">
        <v>1</v>
      </c>
      <c r="C50" t="s">
        <v>0</v>
      </c>
      <c r="D50" t="s">
        <v>44</v>
      </c>
      <c r="E50">
        <v>10</v>
      </c>
      <c r="F50">
        <v>10</v>
      </c>
      <c r="G50">
        <f t="shared" si="0"/>
        <v>1</v>
      </c>
    </row>
    <row r="51" spans="1:7" x14ac:dyDescent="0.2">
      <c r="A51" t="s">
        <v>46</v>
      </c>
      <c r="B51">
        <v>2</v>
      </c>
      <c r="C51" t="s">
        <v>3</v>
      </c>
      <c r="D51" t="s">
        <v>44</v>
      </c>
      <c r="E51">
        <v>9</v>
      </c>
      <c r="F51">
        <v>7</v>
      </c>
      <c r="G51">
        <f t="shared" si="0"/>
        <v>0.77777777777777779</v>
      </c>
    </row>
    <row r="52" spans="1:7" x14ac:dyDescent="0.2">
      <c r="A52" t="s">
        <v>46</v>
      </c>
      <c r="B52">
        <v>3</v>
      </c>
      <c r="C52" t="s">
        <v>4</v>
      </c>
      <c r="D52" t="s">
        <v>44</v>
      </c>
      <c r="E52">
        <v>15</v>
      </c>
      <c r="F52">
        <v>10</v>
      </c>
      <c r="G52">
        <f t="shared" si="0"/>
        <v>0.66666666666666663</v>
      </c>
    </row>
    <row r="53" spans="1:7" x14ac:dyDescent="0.2">
      <c r="A53" t="s">
        <v>46</v>
      </c>
      <c r="B53">
        <v>4</v>
      </c>
      <c r="C53" t="s">
        <v>5</v>
      </c>
      <c r="D53" t="s">
        <v>44</v>
      </c>
      <c r="E53">
        <v>17</v>
      </c>
      <c r="F53">
        <v>8</v>
      </c>
      <c r="G53">
        <f t="shared" si="0"/>
        <v>0.47058823529411764</v>
      </c>
    </row>
    <row r="54" spans="1:7" x14ac:dyDescent="0.2">
      <c r="A54" t="s">
        <v>46</v>
      </c>
      <c r="B54">
        <v>5</v>
      </c>
      <c r="C54" t="s">
        <v>6</v>
      </c>
      <c r="D54" t="s">
        <v>44</v>
      </c>
      <c r="E54">
        <v>13</v>
      </c>
      <c r="F54">
        <v>10</v>
      </c>
      <c r="G54">
        <f t="shared" si="0"/>
        <v>0.76923076923076927</v>
      </c>
    </row>
    <row r="55" spans="1:7" x14ac:dyDescent="0.2">
      <c r="A55" t="s">
        <v>57</v>
      </c>
      <c r="D55" t="s">
        <v>44</v>
      </c>
      <c r="E55">
        <f>AVERAGE(E50:E54)</f>
        <v>12.8</v>
      </c>
      <c r="F55">
        <f t="shared" ref="F55:G55" si="7">AVERAGE(F50:F54)</f>
        <v>9</v>
      </c>
      <c r="G55">
        <f t="shared" si="7"/>
        <v>0.7368526897938662</v>
      </c>
    </row>
    <row r="56" spans="1:7" x14ac:dyDescent="0.2">
      <c r="A56" t="s">
        <v>47</v>
      </c>
      <c r="B56">
        <v>1</v>
      </c>
      <c r="C56" t="s">
        <v>7</v>
      </c>
      <c r="D56" t="s">
        <v>44</v>
      </c>
      <c r="E56">
        <v>20</v>
      </c>
      <c r="F56">
        <v>15</v>
      </c>
      <c r="G56">
        <f t="shared" si="0"/>
        <v>0.75</v>
      </c>
    </row>
    <row r="57" spans="1:7" x14ac:dyDescent="0.2">
      <c r="A57" s="1" t="s">
        <v>47</v>
      </c>
      <c r="B57">
        <v>2</v>
      </c>
      <c r="C57" t="s">
        <v>8</v>
      </c>
      <c r="D57" t="s">
        <v>44</v>
      </c>
      <c r="E57">
        <v>19</v>
      </c>
      <c r="F57">
        <v>16</v>
      </c>
      <c r="G57">
        <f t="shared" si="0"/>
        <v>0.84210526315789469</v>
      </c>
    </row>
    <row r="58" spans="1:7" x14ac:dyDescent="0.2">
      <c r="A58" t="s">
        <v>47</v>
      </c>
      <c r="B58">
        <v>3</v>
      </c>
      <c r="C58" t="s">
        <v>9</v>
      </c>
      <c r="D58" t="s">
        <v>44</v>
      </c>
      <c r="E58">
        <v>19</v>
      </c>
      <c r="F58">
        <v>16</v>
      </c>
      <c r="G58">
        <f t="shared" si="0"/>
        <v>0.84210526315789469</v>
      </c>
    </row>
    <row r="59" spans="1:7" x14ac:dyDescent="0.2">
      <c r="A59" s="1" t="s">
        <v>47</v>
      </c>
      <c r="B59">
        <v>4</v>
      </c>
      <c r="C59" t="s">
        <v>10</v>
      </c>
      <c r="D59" t="s">
        <v>44</v>
      </c>
      <c r="E59">
        <v>15</v>
      </c>
      <c r="F59">
        <v>13</v>
      </c>
      <c r="G59">
        <f t="shared" si="0"/>
        <v>0.8666666666666667</v>
      </c>
    </row>
    <row r="60" spans="1:7" x14ac:dyDescent="0.2">
      <c r="A60" t="s">
        <v>47</v>
      </c>
      <c r="B60">
        <v>5</v>
      </c>
      <c r="C60" t="s">
        <v>11</v>
      </c>
      <c r="D60" t="s">
        <v>44</v>
      </c>
      <c r="E60">
        <v>5</v>
      </c>
      <c r="F60">
        <v>3</v>
      </c>
      <c r="G60">
        <f t="shared" si="0"/>
        <v>0.6</v>
      </c>
    </row>
    <row r="61" spans="1:7" x14ac:dyDescent="0.2">
      <c r="A61" t="s">
        <v>58</v>
      </c>
      <c r="D61" t="s">
        <v>44</v>
      </c>
      <c r="E61">
        <f>AVERAGE(E56:E60)</f>
        <v>15.6</v>
      </c>
      <c r="F61">
        <f t="shared" ref="F61:G61" si="8">AVERAGE(F56:F60)</f>
        <v>12.6</v>
      </c>
      <c r="G61">
        <f t="shared" si="8"/>
        <v>0.78017543859649119</v>
      </c>
    </row>
    <row r="62" spans="1:7" x14ac:dyDescent="0.2">
      <c r="A62" t="s">
        <v>48</v>
      </c>
      <c r="B62">
        <v>1</v>
      </c>
      <c r="C62" t="s">
        <v>12</v>
      </c>
      <c r="D62" t="s">
        <v>44</v>
      </c>
      <c r="E62">
        <v>13</v>
      </c>
      <c r="F62">
        <v>12</v>
      </c>
      <c r="G62">
        <f t="shared" si="0"/>
        <v>0.92307692307692313</v>
      </c>
    </row>
    <row r="63" spans="1:7" x14ac:dyDescent="0.2">
      <c r="A63" t="s">
        <v>48</v>
      </c>
      <c r="B63">
        <v>2</v>
      </c>
      <c r="C63" t="s">
        <v>13</v>
      </c>
      <c r="D63" t="s">
        <v>44</v>
      </c>
      <c r="E63">
        <v>12</v>
      </c>
      <c r="F63">
        <v>12</v>
      </c>
      <c r="G63">
        <f t="shared" si="0"/>
        <v>1</v>
      </c>
    </row>
    <row r="64" spans="1:7" x14ac:dyDescent="0.2">
      <c r="A64" t="s">
        <v>48</v>
      </c>
      <c r="B64">
        <v>3</v>
      </c>
      <c r="C64" t="s">
        <v>14</v>
      </c>
      <c r="D64" t="s">
        <v>44</v>
      </c>
      <c r="E64">
        <v>17</v>
      </c>
      <c r="F64">
        <v>15</v>
      </c>
      <c r="G64">
        <f t="shared" si="0"/>
        <v>0.88235294117647056</v>
      </c>
    </row>
    <row r="65" spans="1:7" x14ac:dyDescent="0.2">
      <c r="A65" t="s">
        <v>48</v>
      </c>
      <c r="B65">
        <v>4</v>
      </c>
      <c r="C65" t="s">
        <v>15</v>
      </c>
      <c r="D65" t="s">
        <v>44</v>
      </c>
      <c r="E65">
        <v>8</v>
      </c>
      <c r="F65">
        <v>6</v>
      </c>
      <c r="G65">
        <f t="shared" si="0"/>
        <v>0.75</v>
      </c>
    </row>
    <row r="66" spans="1:7" x14ac:dyDescent="0.2">
      <c r="A66" t="s">
        <v>48</v>
      </c>
      <c r="B66">
        <v>5</v>
      </c>
      <c r="C66" t="s">
        <v>16</v>
      </c>
      <c r="D66" t="s">
        <v>44</v>
      </c>
      <c r="E66">
        <v>13</v>
      </c>
      <c r="F66">
        <v>13</v>
      </c>
      <c r="G66">
        <f t="shared" si="0"/>
        <v>1</v>
      </c>
    </row>
    <row r="67" spans="1:7" x14ac:dyDescent="0.2">
      <c r="A67" s="1" t="s">
        <v>59</v>
      </c>
      <c r="D67" t="s">
        <v>44</v>
      </c>
      <c r="E67">
        <f>AVERAGE(E62:E66)</f>
        <v>12.6</v>
      </c>
      <c r="F67">
        <f t="shared" ref="F67:G67" si="9">AVERAGE(F62:F66)</f>
        <v>11.6</v>
      </c>
      <c r="G67">
        <f t="shared" si="9"/>
        <v>0.91108597285067872</v>
      </c>
    </row>
    <row r="68" spans="1:7" x14ac:dyDescent="0.2">
      <c r="A68" t="s">
        <v>50</v>
      </c>
      <c r="B68">
        <v>1</v>
      </c>
      <c r="C68" t="s">
        <v>22</v>
      </c>
      <c r="D68" t="s">
        <v>44</v>
      </c>
      <c r="E68">
        <v>5</v>
      </c>
      <c r="F68">
        <v>0</v>
      </c>
      <c r="G68">
        <f t="shared" si="0"/>
        <v>0</v>
      </c>
    </row>
    <row r="69" spans="1:7" x14ac:dyDescent="0.2">
      <c r="A69" t="s">
        <v>50</v>
      </c>
      <c r="B69">
        <v>2</v>
      </c>
      <c r="C69" t="s">
        <v>23</v>
      </c>
      <c r="D69" t="s">
        <v>44</v>
      </c>
      <c r="E69">
        <v>8</v>
      </c>
      <c r="F69">
        <v>0</v>
      </c>
      <c r="G69">
        <f t="shared" si="0"/>
        <v>0</v>
      </c>
    </row>
    <row r="70" spans="1:7" x14ac:dyDescent="0.2">
      <c r="A70" t="s">
        <v>50</v>
      </c>
      <c r="B70">
        <v>3</v>
      </c>
      <c r="C70" t="s">
        <v>24</v>
      </c>
      <c r="D70" t="s">
        <v>44</v>
      </c>
      <c r="E70">
        <v>5</v>
      </c>
      <c r="F70">
        <v>0</v>
      </c>
      <c r="G70">
        <f t="shared" si="0"/>
        <v>0</v>
      </c>
    </row>
    <row r="71" spans="1:7" x14ac:dyDescent="0.2">
      <c r="A71" t="s">
        <v>50</v>
      </c>
      <c r="B71">
        <v>4</v>
      </c>
      <c r="C71" t="s">
        <v>25</v>
      </c>
      <c r="D71" t="s">
        <v>44</v>
      </c>
      <c r="E71">
        <v>3</v>
      </c>
      <c r="F71">
        <v>0</v>
      </c>
      <c r="G71">
        <f t="shared" si="0"/>
        <v>0</v>
      </c>
    </row>
    <row r="72" spans="1:7" x14ac:dyDescent="0.2">
      <c r="A72" t="s">
        <v>50</v>
      </c>
      <c r="B72">
        <v>5</v>
      </c>
      <c r="C72" t="s">
        <v>26</v>
      </c>
      <c r="D72" t="s">
        <v>44</v>
      </c>
      <c r="E72">
        <v>4</v>
      </c>
      <c r="F72">
        <v>0</v>
      </c>
      <c r="G72">
        <f t="shared" si="0"/>
        <v>0</v>
      </c>
    </row>
    <row r="73" spans="1:7" x14ac:dyDescent="0.2">
      <c r="A73" t="s">
        <v>50</v>
      </c>
      <c r="B73">
        <v>6</v>
      </c>
      <c r="C73" t="s">
        <v>45</v>
      </c>
      <c r="D73" t="s">
        <v>44</v>
      </c>
      <c r="E73">
        <v>4</v>
      </c>
      <c r="F73">
        <v>1</v>
      </c>
      <c r="G73">
        <f t="shared" si="0"/>
        <v>0.25</v>
      </c>
    </row>
    <row r="74" spans="1:7" x14ac:dyDescent="0.2">
      <c r="A74" s="1" t="s">
        <v>61</v>
      </c>
      <c r="D74" t="s">
        <v>44</v>
      </c>
      <c r="E74">
        <f>AVERAGE(E68:E73)</f>
        <v>4.833333333333333</v>
      </c>
      <c r="F74">
        <f t="shared" ref="F74:G74" si="10">AVERAGE(F68:F73)</f>
        <v>0.16666666666666666</v>
      </c>
      <c r="G74">
        <f t="shared" si="10"/>
        <v>4.1666666666666664E-2</v>
      </c>
    </row>
    <row r="75" spans="1:7" x14ac:dyDescent="0.2">
      <c r="A75" t="s">
        <v>52</v>
      </c>
      <c r="B75" s="1">
        <v>1</v>
      </c>
      <c r="C75" t="s">
        <v>27</v>
      </c>
      <c r="D75" t="s">
        <v>44</v>
      </c>
      <c r="E75">
        <v>1</v>
      </c>
      <c r="F75">
        <v>0</v>
      </c>
      <c r="G75">
        <f t="shared" si="0"/>
        <v>0</v>
      </c>
    </row>
    <row r="76" spans="1:7" x14ac:dyDescent="0.2">
      <c r="A76" t="s">
        <v>52</v>
      </c>
      <c r="B76" s="1">
        <v>2</v>
      </c>
      <c r="C76" t="s">
        <v>28</v>
      </c>
      <c r="D76" t="s">
        <v>44</v>
      </c>
      <c r="E76">
        <v>4</v>
      </c>
      <c r="F76">
        <v>0</v>
      </c>
      <c r="G76">
        <f t="shared" si="0"/>
        <v>0</v>
      </c>
    </row>
    <row r="77" spans="1:7" x14ac:dyDescent="0.2">
      <c r="A77" t="s">
        <v>52</v>
      </c>
      <c r="B77" s="1">
        <v>3</v>
      </c>
      <c r="C77" t="s">
        <v>29</v>
      </c>
      <c r="D77" t="s">
        <v>44</v>
      </c>
      <c r="E77">
        <v>1</v>
      </c>
      <c r="F77">
        <v>0</v>
      </c>
      <c r="G77">
        <f t="shared" si="0"/>
        <v>0</v>
      </c>
    </row>
    <row r="78" spans="1:7" x14ac:dyDescent="0.2">
      <c r="A78" t="s">
        <v>52</v>
      </c>
      <c r="B78" s="1">
        <v>4</v>
      </c>
      <c r="C78" t="s">
        <v>30</v>
      </c>
      <c r="D78" t="s">
        <v>44</v>
      </c>
      <c r="E78">
        <v>6</v>
      </c>
      <c r="F78">
        <v>0</v>
      </c>
      <c r="G78">
        <f t="shared" si="0"/>
        <v>0</v>
      </c>
    </row>
    <row r="79" spans="1:7" x14ac:dyDescent="0.2">
      <c r="A79" t="s">
        <v>52</v>
      </c>
      <c r="B79" s="1">
        <v>5</v>
      </c>
      <c r="C79" t="s">
        <v>31</v>
      </c>
      <c r="D79" t="s">
        <v>44</v>
      </c>
      <c r="E79">
        <v>2</v>
      </c>
      <c r="F79">
        <v>0</v>
      </c>
      <c r="G79">
        <f t="shared" ref="G79:G85" si="11">F79/E79</f>
        <v>0</v>
      </c>
    </row>
    <row r="80" spans="1:7" x14ac:dyDescent="0.2">
      <c r="A80" s="1" t="s">
        <v>62</v>
      </c>
      <c r="B80" s="1"/>
      <c r="D80" t="s">
        <v>44</v>
      </c>
      <c r="E80">
        <f>AVERAGE(E75:E79)</f>
        <v>2.8</v>
      </c>
      <c r="F80">
        <f t="shared" ref="F80:G80" si="12">AVERAGE(F75:F79)</f>
        <v>0</v>
      </c>
      <c r="G80">
        <f t="shared" si="12"/>
        <v>0</v>
      </c>
    </row>
    <row r="81" spans="1:7" x14ac:dyDescent="0.2">
      <c r="A81" t="s">
        <v>53</v>
      </c>
      <c r="B81" s="1">
        <v>1</v>
      </c>
      <c r="C81" t="s">
        <v>32</v>
      </c>
      <c r="D81" t="s">
        <v>44</v>
      </c>
      <c r="E81">
        <v>1</v>
      </c>
      <c r="F81">
        <v>0</v>
      </c>
      <c r="G81">
        <f t="shared" si="11"/>
        <v>0</v>
      </c>
    </row>
    <row r="82" spans="1:7" x14ac:dyDescent="0.2">
      <c r="A82" t="s">
        <v>53</v>
      </c>
      <c r="B82" s="1">
        <v>2</v>
      </c>
      <c r="C82" t="s">
        <v>33</v>
      </c>
      <c r="D82" t="s">
        <v>44</v>
      </c>
      <c r="E82">
        <v>1</v>
      </c>
      <c r="F82">
        <v>0</v>
      </c>
      <c r="G82">
        <f t="shared" si="11"/>
        <v>0</v>
      </c>
    </row>
    <row r="83" spans="1:7" x14ac:dyDescent="0.2">
      <c r="A83" t="s">
        <v>53</v>
      </c>
      <c r="B83" s="1">
        <v>3</v>
      </c>
      <c r="C83" t="s">
        <v>34</v>
      </c>
      <c r="D83" t="s">
        <v>44</v>
      </c>
      <c r="E83">
        <v>2</v>
      </c>
      <c r="F83">
        <v>0</v>
      </c>
      <c r="G83">
        <f t="shared" si="11"/>
        <v>0</v>
      </c>
    </row>
    <row r="84" spans="1:7" x14ac:dyDescent="0.2">
      <c r="A84" t="s">
        <v>53</v>
      </c>
      <c r="B84" s="1">
        <v>4</v>
      </c>
      <c r="C84" t="s">
        <v>35</v>
      </c>
      <c r="D84" t="s">
        <v>44</v>
      </c>
      <c r="E84">
        <v>2</v>
      </c>
      <c r="F84">
        <v>0</v>
      </c>
      <c r="G84">
        <f t="shared" si="11"/>
        <v>0</v>
      </c>
    </row>
    <row r="85" spans="1:7" x14ac:dyDescent="0.2">
      <c r="A85" t="s">
        <v>53</v>
      </c>
      <c r="B85" s="1">
        <v>5</v>
      </c>
      <c r="C85" t="s">
        <v>36</v>
      </c>
      <c r="D85" t="s">
        <v>44</v>
      </c>
      <c r="E85">
        <v>2</v>
      </c>
      <c r="F85">
        <v>0</v>
      </c>
      <c r="G85">
        <f t="shared" si="11"/>
        <v>0</v>
      </c>
    </row>
    <row r="86" spans="1:7" x14ac:dyDescent="0.2">
      <c r="A86" s="1" t="s">
        <v>63</v>
      </c>
      <c r="D86" t="s">
        <v>44</v>
      </c>
      <c r="E86">
        <f>AVERAGE(E81:E85)</f>
        <v>1.6</v>
      </c>
      <c r="F86">
        <f t="shared" ref="F86:G86" si="13">AVERAGE(F81:F85)</f>
        <v>0</v>
      </c>
      <c r="G86">
        <f t="shared" si="1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00A8-B888-F04C-9A71-548ECDAC0977}">
  <dimension ref="A1:J5"/>
  <sheetViews>
    <sheetView tabSelected="1" workbookViewId="0">
      <selection activeCell="G12" sqref="G12"/>
    </sheetView>
  </sheetViews>
  <sheetFormatPr baseColWidth="10" defaultRowHeight="16" x14ac:dyDescent="0.2"/>
  <cols>
    <col min="2" max="2" width="11.5" customWidth="1"/>
    <col min="3" max="3" width="15.5" customWidth="1"/>
    <col min="4" max="4" width="18.33203125" customWidth="1"/>
    <col min="5" max="5" width="34.83203125" customWidth="1"/>
    <col min="6" max="6" width="29.1640625" customWidth="1"/>
    <col min="7" max="7" width="50.6640625" customWidth="1"/>
    <col min="8" max="8" width="39.1640625" customWidth="1"/>
    <col min="9" max="9" width="65.1640625" customWidth="1"/>
  </cols>
  <sheetData>
    <row r="1" spans="1:10" x14ac:dyDescent="0.2">
      <c r="A1" t="s">
        <v>69</v>
      </c>
      <c r="B1" t="s">
        <v>68</v>
      </c>
      <c r="C1" t="s">
        <v>70</v>
      </c>
      <c r="D1" t="s">
        <v>73</v>
      </c>
      <c r="E1" t="s">
        <v>74</v>
      </c>
      <c r="F1" t="s">
        <v>75</v>
      </c>
      <c r="G1" s="2" t="s">
        <v>71</v>
      </c>
      <c r="H1" s="2" t="s">
        <v>72</v>
      </c>
      <c r="I1" s="2" t="s">
        <v>76</v>
      </c>
      <c r="J1" s="2" t="s">
        <v>77</v>
      </c>
    </row>
    <row r="2" spans="1:10" x14ac:dyDescent="0.2">
      <c r="A2" t="s">
        <v>43</v>
      </c>
      <c r="B2" t="s">
        <v>65</v>
      </c>
      <c r="C2">
        <f>AVERAGE('Raw data'!E7,'Raw data'!E13,'Raw data'!E19,'Raw data'!E25)</f>
        <v>17.899999999999999</v>
      </c>
      <c r="D2">
        <f>STDEV('Raw data'!E7,'Raw data'!E13,'Raw data'!E19,'Raw data'!E25)/(SQRT(COUNT('Raw data'!E7,'Raw data'!E13,'Raw data'!E19,'Raw data'!E25)))</f>
        <v>1.8912077270005727</v>
      </c>
      <c r="E2">
        <f>AVERAGE('Raw data'!G7,'Raw data'!G13,'Raw data'!G19,'Raw data'!G25)</f>
        <v>0.87010712915395572</v>
      </c>
      <c r="F2">
        <f>STDEV('Raw data'!G7,'Raw data'!G13,'Raw data'!G19,'Raw data'!G25)/(SQRT(COUNT('Raw data'!G7,'Raw data'!G13,'Raw data'!G19,'Raw data'!G25)))</f>
        <v>2.9857114339940545E-2</v>
      </c>
    </row>
    <row r="3" spans="1:10" x14ac:dyDescent="0.2">
      <c r="A3" t="s">
        <v>43</v>
      </c>
      <c r="B3" t="s">
        <v>66</v>
      </c>
      <c r="C3">
        <f>AVERAGE('Raw data'!E31,'Raw data'!E37,'Raw data'!E43,'Raw data'!E49)</f>
        <v>10.450000000000001</v>
      </c>
      <c r="D3">
        <f>STDEV('Raw data'!E31,'Raw data'!E37,'Raw data'!E43,'Raw data'!E49)/(SQRT(COUNT('Raw data'!E31,'Raw data'!E37,'Raw data'!E43,'Raw data'!E49)))</f>
        <v>1.5326991442114974</v>
      </c>
      <c r="E3">
        <f>AVERAGE('Raw data'!G31,'Raw data'!G37,'Raw data'!G43,'Raw data'!G49)</f>
        <v>0.12365800865800866</v>
      </c>
      <c r="F3">
        <f>STDEV('Raw data'!G31,'Raw data'!G37,'Raw data'!G43,'Raw data'!G49)/(SQRT(COUNT('Raw data'!G31,'Raw data'!G37,'Raw data'!G43,'Raw data'!G49)))</f>
        <v>4.1009061184566153E-2</v>
      </c>
      <c r="G3">
        <f>(C2-C3)/C2*100</f>
        <v>41.620111731843565</v>
      </c>
      <c r="H3">
        <f>SQRT((D3/C2)^2+((C3*D2)/(C2^2))^2)*100</f>
        <v>10.552849723077376</v>
      </c>
      <c r="I3">
        <f>(E2-E3)/E2*100</f>
        <v>85.788185786013855</v>
      </c>
      <c r="J3">
        <f>SQRT((F3/E2)^2+((E3*F2)/(E2^2))^2)*100</f>
        <v>4.7382673708236194</v>
      </c>
    </row>
    <row r="4" spans="1:10" x14ac:dyDescent="0.2">
      <c r="A4" t="s">
        <v>44</v>
      </c>
      <c r="B4" t="s">
        <v>67</v>
      </c>
      <c r="C4">
        <f>AVERAGE('Raw data'!E55,'Raw data'!E61,'Raw data'!E67)</f>
        <v>13.666666666666666</v>
      </c>
      <c r="D4">
        <f>STDEV('Raw data'!E55,'Raw data'!E61,'Raw data'!E67)/(SQRT(COUNT('Raw data'!E55,'Raw data'!E61,'Raw data'!E67)))</f>
        <v>0.96838926975559658</v>
      </c>
      <c r="E4">
        <f>AVERAGE('Raw data'!G55,'Raw data'!G61,'Raw data'!G67)</f>
        <v>0.80937136708034529</v>
      </c>
      <c r="F4">
        <f>STDEV('Raw data'!G55,'Raw data'!G61,'Raw data'!G67)/(SQRT(COUNT('Raw data'!G55,'Raw data'!G61,'Raw data'!G67)))</f>
        <v>5.2372419303849192E-2</v>
      </c>
    </row>
    <row r="5" spans="1:10" x14ac:dyDescent="0.2">
      <c r="A5" t="s">
        <v>44</v>
      </c>
      <c r="B5" t="s">
        <v>66</v>
      </c>
      <c r="C5">
        <f>AVERAGE('Raw data'!E74,'Raw data'!E80,'Raw data'!E86)</f>
        <v>3.0777777777777775</v>
      </c>
      <c r="D5">
        <f>STDEV('Raw data'!E74,'Raw data'!E80,'Raw data'!E86)/(SQRT(COUNT('Raw data'!E74,'Raw data'!E80,'Raw data'!E86)))</f>
        <v>0.94365980478162448</v>
      </c>
      <c r="E5">
        <f>AVERAGE('Raw data'!G74,'Raw data'!G80,'Raw data'!G86)</f>
        <v>1.3888888888888888E-2</v>
      </c>
      <c r="F5">
        <f>STDEV('Raw data'!G74,'Raw data'!G80,'Raw data'!G86)/(SQRT(COUNT('Raw data'!G74,'Raw data'!G80,'Raw data'!G86)))</f>
        <v>1.388888888888889E-2</v>
      </c>
      <c r="G5">
        <f>(C4-C5)/C4*100</f>
        <v>77.479674796747972</v>
      </c>
      <c r="H5">
        <f>SQRT((D5/C4)^2+((C5*D4)/(C4^2))^2)*100</f>
        <v>7.086821035376885</v>
      </c>
      <c r="I5">
        <f>(E4-E5)/E4*100</f>
        <v>98.283990581605281</v>
      </c>
      <c r="J5">
        <f>SQRT((F5/E4)^2+((E5*F4)/(E4^2))^2)*100</f>
        <v>1.719598186352481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Paul</dc:creator>
  <cp:lastModifiedBy>Paul, Maitri</cp:lastModifiedBy>
  <dcterms:created xsi:type="dcterms:W3CDTF">2025-02-05T01:03:11Z</dcterms:created>
  <dcterms:modified xsi:type="dcterms:W3CDTF">2026-01-16T19:55:29Z</dcterms:modified>
</cp:coreProperties>
</file>